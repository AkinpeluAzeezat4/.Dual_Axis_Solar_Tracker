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FG-ELECTRICAL-ENGR\Desktop\"/>
    </mc:Choice>
  </mc:AlternateContent>
  <xr:revisionPtr revIDLastSave="0" documentId="13_ncr:1_{91468590-C00D-411D-9595-B8B47AAEB8A7}" xr6:coauthVersionLast="47" xr6:coauthVersionMax="47" xr10:uidLastSave="{00000000-0000-0000-0000-000000000000}"/>
  <bookViews>
    <workbookView xWindow="-120" yWindow="-120" windowWidth="29040" windowHeight="15720" xr2:uid="{78F08B1A-A6D5-4604-8FC6-7508424A5F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20" i="1"/>
  <c r="G19" i="1"/>
  <c r="G18" i="1"/>
  <c r="G17" i="1"/>
  <c r="G16" i="1"/>
  <c r="G15" i="1"/>
  <c r="G3" i="1"/>
  <c r="G2" i="1"/>
  <c r="G8" i="1"/>
  <c r="G12" i="1"/>
  <c r="G11" i="1"/>
  <c r="G9" i="1"/>
  <c r="G4" i="1"/>
  <c r="G14" i="1"/>
  <c r="G13" i="1"/>
  <c r="G10" i="1"/>
  <c r="G5" i="1"/>
  <c r="G21" i="1" l="1"/>
</calcChain>
</file>

<file path=xl/sharedStrings.xml><?xml version="1.0" encoding="utf-8"?>
<sst xmlns="http://schemas.openxmlformats.org/spreadsheetml/2006/main" count="47" uniqueCount="47">
  <si>
    <t>Designator</t>
  </si>
  <si>
    <t>Footprint</t>
  </si>
  <si>
    <t>Quantity</t>
  </si>
  <si>
    <t>Component</t>
  </si>
  <si>
    <t>Value</t>
  </si>
  <si>
    <t>Unit Price</t>
  </si>
  <si>
    <t>Total Price</t>
  </si>
  <si>
    <t>Capacitor</t>
  </si>
  <si>
    <t>100nF</t>
  </si>
  <si>
    <t>1x04_P2.54mm</t>
  </si>
  <si>
    <t>Vertical</t>
  </si>
  <si>
    <t>Resistor</t>
  </si>
  <si>
    <t>Casing</t>
  </si>
  <si>
    <t>Miscellaneous</t>
  </si>
  <si>
    <t>Transportation fee</t>
  </si>
  <si>
    <t>Total</t>
  </si>
  <si>
    <t>Buzzer</t>
  </si>
  <si>
    <t>BZ1</t>
  </si>
  <si>
    <t xml:space="preserve">Small </t>
  </si>
  <si>
    <t>Buzzer_12x9.5RM7.6</t>
  </si>
  <si>
    <t>Opto-Coupler</t>
  </si>
  <si>
    <t>Battery Management System</t>
  </si>
  <si>
    <t>3S/40A</t>
  </si>
  <si>
    <t>Lithium Ion Battery</t>
  </si>
  <si>
    <t>Solar Panel</t>
  </si>
  <si>
    <t>C1, C3</t>
  </si>
  <si>
    <t>Radial_D7.0mm_P3.50mm</t>
  </si>
  <si>
    <t>450uF/35V</t>
  </si>
  <si>
    <t>C2, C4</t>
  </si>
  <si>
    <t>DC- DC Buck Converter</t>
  </si>
  <si>
    <t>Raspberry Camera</t>
  </si>
  <si>
    <t>Module 3</t>
  </si>
  <si>
    <t>LCD screen</t>
  </si>
  <si>
    <t>7 inches Raspberry Touch Screen</t>
  </si>
  <si>
    <t>5A</t>
  </si>
  <si>
    <t>Motion Sensor</t>
  </si>
  <si>
    <t>PIR sensor</t>
  </si>
  <si>
    <t>PC817</t>
  </si>
  <si>
    <t>R1, R2</t>
  </si>
  <si>
    <t>220R</t>
  </si>
  <si>
    <t>1/4 W</t>
  </si>
  <si>
    <t xml:space="preserve">Raspberry PI5 </t>
  </si>
  <si>
    <t>8gb RAM / 32gb SD Card</t>
  </si>
  <si>
    <t>Vero Board</t>
  </si>
  <si>
    <t>Soldring Lead</t>
  </si>
  <si>
    <t>1900mA</t>
  </si>
  <si>
    <t>12V/20W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</si>
</sst>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₦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0F3D-4E07-43A6-B083-33CA336919CE}">
  <dimension ref="A1:G21"/>
  <sheetViews>
    <sheetView tabSelected="1" zoomScale="60" zoomScaleNormal="60" workbookViewId="0">
      <selection activeCell="F21" sqref="F21"/>
    </sheetView>
  </sheetViews>
  <sheetFormatPr defaultRowHeight="15" x14ac:dyDescent="0.25"/>
  <cols>
    <col min="1" max="1" width="31.5703125" customWidth="1"/>
    <col min="2" max="2" width="49.85546875" customWidth="1"/>
    <col min="3" max="3" width="35.85546875" customWidth="1"/>
    <col min="4" max="4" width="37.7109375" style="4" customWidth="1"/>
    <col min="5" max="5" width="30" customWidth="1"/>
    <col min="6" max="6" width="28.140625" style="6" customWidth="1"/>
    <col min="7" max="7" width="20.28515625" customWidth="1"/>
  </cols>
  <sheetData>
    <row r="1" spans="1:7" x14ac:dyDescent="0.25">
      <c r="A1" s="2" t="s">
        <v>3</v>
      </c>
      <c r="B1" s="2" t="s">
        <v>0</v>
      </c>
      <c r="C1" s="2" t="s">
        <v>4</v>
      </c>
      <c r="D1" s="3" t="s">
        <v>1</v>
      </c>
      <c r="E1" s="2" t="s">
        <v>2</v>
      </c>
      <c r="F1" s="5" t="s">
        <v>5</v>
      </c>
      <c r="G1" s="2" t="s">
        <v>6</v>
      </c>
    </row>
    <row r="2" spans="1:7" x14ac:dyDescent="0.25">
      <c r="A2" t="s">
        <v>7</v>
      </c>
      <c r="B2" s="2" t="s">
        <v>25</v>
      </c>
      <c r="C2" s="2" t="s">
        <v>27</v>
      </c>
      <c r="D2" s="2" t="s">
        <v>26</v>
      </c>
      <c r="E2" s="2">
        <v>2</v>
      </c>
      <c r="F2" s="5">
        <v>300</v>
      </c>
      <c r="G2" s="5">
        <f t="shared" ref="G2:G3" si="0">E2*F2</f>
        <v>600</v>
      </c>
    </row>
    <row r="3" spans="1:7" x14ac:dyDescent="0.25">
      <c r="B3" s="2" t="s">
        <v>28</v>
      </c>
      <c r="C3" s="2" t="s">
        <v>8</v>
      </c>
      <c r="D3" s="3"/>
      <c r="E3" s="2">
        <v>2</v>
      </c>
      <c r="F3" s="5">
        <v>100</v>
      </c>
      <c r="G3" s="5">
        <f t="shared" si="0"/>
        <v>200</v>
      </c>
    </row>
    <row r="4" spans="1:7" x14ac:dyDescent="0.25">
      <c r="A4" t="s">
        <v>16</v>
      </c>
      <c r="B4" s="2" t="s">
        <v>17</v>
      </c>
      <c r="C4" s="1" t="s">
        <v>18</v>
      </c>
      <c r="D4" s="3" t="s">
        <v>19</v>
      </c>
      <c r="E4" s="2">
        <v>2</v>
      </c>
      <c r="F4" s="5">
        <v>700</v>
      </c>
      <c r="G4" s="5">
        <f t="shared" ref="G4:G15" si="1">E4*F4</f>
        <v>1400</v>
      </c>
    </row>
    <row r="5" spans="1:7" x14ac:dyDescent="0.25">
      <c r="A5" t="s">
        <v>21</v>
      </c>
      <c r="C5" s="2" t="s">
        <v>22</v>
      </c>
      <c r="E5" s="2">
        <v>1</v>
      </c>
      <c r="F5" s="5">
        <v>8000</v>
      </c>
      <c r="G5" s="5">
        <f t="shared" si="1"/>
        <v>8000</v>
      </c>
    </row>
    <row r="6" spans="1:7" x14ac:dyDescent="0.25">
      <c r="A6" t="s">
        <v>23</v>
      </c>
      <c r="C6" s="2" t="s">
        <v>45</v>
      </c>
      <c r="E6" s="2">
        <v>9</v>
      </c>
      <c r="F6" s="5">
        <v>1500</v>
      </c>
      <c r="G6" s="5">
        <f>E6*F6</f>
        <v>13500</v>
      </c>
    </row>
    <row r="7" spans="1:7" x14ac:dyDescent="0.25">
      <c r="A7" t="s">
        <v>24</v>
      </c>
      <c r="C7" s="2" t="s">
        <v>46</v>
      </c>
      <c r="E7" s="2">
        <v>1</v>
      </c>
      <c r="F7" s="5">
        <v>17000</v>
      </c>
      <c r="G7" s="5">
        <f>E7*F7</f>
        <v>17000</v>
      </c>
    </row>
    <row r="8" spans="1:7" x14ac:dyDescent="0.25">
      <c r="A8" t="s">
        <v>29</v>
      </c>
      <c r="C8" s="2" t="s">
        <v>34</v>
      </c>
      <c r="E8" s="2">
        <v>1</v>
      </c>
      <c r="F8" s="5">
        <v>3000</v>
      </c>
      <c r="G8" s="5">
        <f t="shared" si="1"/>
        <v>3000</v>
      </c>
    </row>
    <row r="9" spans="1:7" x14ac:dyDescent="0.25">
      <c r="A9" t="s">
        <v>30</v>
      </c>
      <c r="C9" s="2" t="s">
        <v>31</v>
      </c>
      <c r="E9" s="2">
        <v>1</v>
      </c>
      <c r="F9" s="5">
        <v>87000</v>
      </c>
      <c r="G9" s="5">
        <f t="shared" si="1"/>
        <v>87000</v>
      </c>
    </row>
    <row r="10" spans="1:7" x14ac:dyDescent="0.25">
      <c r="A10" t="s">
        <v>32</v>
      </c>
      <c r="B10" s="2"/>
      <c r="C10" s="2" t="s">
        <v>33</v>
      </c>
      <c r="D10" s="3"/>
      <c r="E10" s="2">
        <v>1</v>
      </c>
      <c r="F10" s="5">
        <v>52000</v>
      </c>
      <c r="G10" s="5">
        <f t="shared" si="1"/>
        <v>52000</v>
      </c>
    </row>
    <row r="11" spans="1:7" x14ac:dyDescent="0.25">
      <c r="A11" t="s">
        <v>35</v>
      </c>
      <c r="B11" s="2"/>
      <c r="C11" s="2" t="s">
        <v>36</v>
      </c>
      <c r="D11" s="3"/>
      <c r="E11" s="2">
        <v>1</v>
      </c>
      <c r="F11" s="5">
        <v>2000</v>
      </c>
      <c r="G11" s="5">
        <f>E11*F11</f>
        <v>2000</v>
      </c>
    </row>
    <row r="12" spans="1:7" x14ac:dyDescent="0.25">
      <c r="A12" t="s">
        <v>20</v>
      </c>
      <c r="B12" s="2"/>
      <c r="C12" s="2" t="s">
        <v>37</v>
      </c>
      <c r="D12" s="3"/>
      <c r="E12" s="2">
        <v>2</v>
      </c>
      <c r="F12" s="5">
        <v>300</v>
      </c>
      <c r="G12" s="5">
        <f>E12*F12</f>
        <v>600</v>
      </c>
    </row>
    <row r="13" spans="1:7" x14ac:dyDescent="0.25">
      <c r="B13" s="2"/>
      <c r="C13" s="2" t="s">
        <v>10</v>
      </c>
      <c r="D13" s="3" t="s">
        <v>9</v>
      </c>
      <c r="E13" s="2">
        <v>10</v>
      </c>
      <c r="F13" s="5">
        <v>200</v>
      </c>
      <c r="G13" s="5">
        <f t="shared" si="1"/>
        <v>2000</v>
      </c>
    </row>
    <row r="14" spans="1:7" x14ac:dyDescent="0.25">
      <c r="A14" t="s">
        <v>11</v>
      </c>
      <c r="B14" s="2" t="s">
        <v>38</v>
      </c>
      <c r="C14" s="2" t="s">
        <v>39</v>
      </c>
      <c r="D14" s="3" t="s">
        <v>40</v>
      </c>
      <c r="E14" s="2">
        <v>3</v>
      </c>
      <c r="F14" s="5">
        <v>50</v>
      </c>
      <c r="G14" s="5">
        <f t="shared" si="1"/>
        <v>150</v>
      </c>
    </row>
    <row r="15" spans="1:7" x14ac:dyDescent="0.25">
      <c r="A15" t="s">
        <v>41</v>
      </c>
      <c r="B15" s="2"/>
      <c r="C15" s="2" t="s">
        <v>42</v>
      </c>
      <c r="D15" s="3"/>
      <c r="E15" s="2">
        <v>1</v>
      </c>
      <c r="F15" s="5">
        <v>265000</v>
      </c>
      <c r="G15" s="5">
        <f t="shared" si="1"/>
        <v>265000</v>
      </c>
    </row>
    <row r="16" spans="1:7" x14ac:dyDescent="0.25">
      <c r="A16" t="s">
        <v>43</v>
      </c>
      <c r="B16" s="2"/>
      <c r="C16" s="2"/>
      <c r="E16" s="2">
        <v>1</v>
      </c>
      <c r="F16" s="5">
        <v>1000</v>
      </c>
      <c r="G16" s="5">
        <f>E16*F16</f>
        <v>1000</v>
      </c>
    </row>
    <row r="17" spans="1:7" x14ac:dyDescent="0.25">
      <c r="A17" t="s">
        <v>44</v>
      </c>
      <c r="B17" s="2"/>
      <c r="C17" s="2"/>
      <c r="E17" s="2">
        <v>1</v>
      </c>
      <c r="F17" s="5">
        <v>2000</v>
      </c>
      <c r="G17" s="5">
        <f>E17*F17</f>
        <v>2000</v>
      </c>
    </row>
    <row r="18" spans="1:7" x14ac:dyDescent="0.25">
      <c r="A18" t="s">
        <v>12</v>
      </c>
      <c r="E18" s="2">
        <v>1</v>
      </c>
      <c r="F18" s="5">
        <v>5000</v>
      </c>
      <c r="G18" s="5">
        <f>E18*F18</f>
        <v>5000</v>
      </c>
    </row>
    <row r="19" spans="1:7" x14ac:dyDescent="0.25">
      <c r="A19" t="s">
        <v>13</v>
      </c>
      <c r="E19" s="2">
        <v>1</v>
      </c>
      <c r="F19" s="5">
        <v>4000</v>
      </c>
      <c r="G19" s="5">
        <f>E19*F19</f>
        <v>4000</v>
      </c>
    </row>
    <row r="20" spans="1:7" x14ac:dyDescent="0.25">
      <c r="A20" t="s">
        <v>14</v>
      </c>
      <c r="E20" s="2">
        <v>1</v>
      </c>
      <c r="F20" s="5">
        <v>5000</v>
      </c>
      <c r="G20" s="5">
        <f>E20*F20</f>
        <v>5000</v>
      </c>
    </row>
    <row r="21" spans="1:7" x14ac:dyDescent="0.25">
      <c r="A21" t="s">
        <v>15</v>
      </c>
      <c r="F21" s="7"/>
      <c r="G21" s="5">
        <f>SUM(G2:G20)</f>
        <v>469450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PFG-ELECTRICAL-ENGR</dc:creator>
  <cp:lastModifiedBy>PFG-ELECTRICAL-ENGR</cp:lastModifiedBy>
  <dcterms:created xsi:type="dcterms:W3CDTF">2026-03-06T11:24:37Z</dcterms:created>
  <dcterms:modified xsi:type="dcterms:W3CDTF">2026-03-16T16:29:14Z</dcterms:modified>
</cp:coreProperties>
</file>