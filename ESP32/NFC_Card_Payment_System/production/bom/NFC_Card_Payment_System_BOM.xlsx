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ocuments\"/>
    </mc:Choice>
  </mc:AlternateContent>
  <xr:revisionPtr revIDLastSave="0" documentId="13_ncr:1_{7ECAE625-D57A-4826-A824-A11348A40D3C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22" i="1"/>
  <c r="G21" i="1"/>
  <c r="G13" i="1"/>
  <c r="G12" i="1"/>
  <c r="G11" i="1"/>
  <c r="G9" i="1"/>
  <c r="G24" i="1"/>
  <c r="G6" i="1"/>
  <c r="G3" i="1"/>
  <c r="G2" i="1"/>
  <c r="G26" i="1"/>
  <c r="G25" i="1"/>
  <c r="G20" i="1"/>
  <c r="G23" i="1"/>
  <c r="G19" i="1"/>
  <c r="G18" i="1"/>
  <c r="G17" i="1"/>
  <c r="G16" i="1"/>
  <c r="G15" i="1"/>
  <c r="G14" i="1"/>
  <c r="G10" i="1"/>
  <c r="G7" i="1"/>
  <c r="G5" i="1"/>
  <c r="G4" i="1"/>
  <c r="G33" i="1" l="1"/>
</calcChain>
</file>

<file path=xl/sharedStrings.xml><?xml version="1.0" encoding="utf-8"?>
<sst xmlns="http://schemas.openxmlformats.org/spreadsheetml/2006/main" count="88" uniqueCount="81">
  <si>
    <t>Designator</t>
  </si>
  <si>
    <t>Footprint</t>
  </si>
  <si>
    <t>Quantity</t>
  </si>
  <si>
    <t>Component</t>
  </si>
  <si>
    <t>Value</t>
  </si>
  <si>
    <t>Unit Price</t>
  </si>
  <si>
    <t>Total Price</t>
  </si>
  <si>
    <t>Capacitor</t>
  </si>
  <si>
    <t>C10</t>
  </si>
  <si>
    <t>0805</t>
  </si>
  <si>
    <t>100nF</t>
  </si>
  <si>
    <t>D_SMA</t>
  </si>
  <si>
    <t>220uF/16V</t>
  </si>
  <si>
    <t>Red</t>
  </si>
  <si>
    <t>LED_D3.0mm</t>
  </si>
  <si>
    <t>D7</t>
  </si>
  <si>
    <t>1N5824</t>
  </si>
  <si>
    <t>1x06_P2.54mm</t>
  </si>
  <si>
    <t>1x04_P2.54mm</t>
  </si>
  <si>
    <t>L1</t>
  </si>
  <si>
    <t>Q1</t>
  </si>
  <si>
    <t>U1</t>
  </si>
  <si>
    <t>Vertical</t>
  </si>
  <si>
    <t>Pin Header</t>
  </si>
  <si>
    <t>Inductor</t>
  </si>
  <si>
    <t>33uH</t>
  </si>
  <si>
    <t>12x12mm_H6mm</t>
  </si>
  <si>
    <t>Resistor</t>
  </si>
  <si>
    <t>Diode</t>
  </si>
  <si>
    <t>10K</t>
  </si>
  <si>
    <t>R11, R13, R15, R5, R7</t>
  </si>
  <si>
    <t>Tact Button</t>
  </si>
  <si>
    <t>Voltage Regulator</t>
  </si>
  <si>
    <t>LM2596S-3.3V</t>
  </si>
  <si>
    <t>TO-263-5</t>
  </si>
  <si>
    <t>Microcontroller</t>
  </si>
  <si>
    <t>Casing</t>
  </si>
  <si>
    <t>Miscellaneous</t>
  </si>
  <si>
    <t>Transportation fee</t>
  </si>
  <si>
    <t>PCB fabrication</t>
  </si>
  <si>
    <t>Total</t>
  </si>
  <si>
    <t>C1, C10, C11, C2, C3, C4, C5, C7, C8, C9</t>
  </si>
  <si>
    <t>Buzzer</t>
  </si>
  <si>
    <t>BZ1</t>
  </si>
  <si>
    <t xml:space="preserve">Small </t>
  </si>
  <si>
    <t>Buzzer_12x9.5RM7.6</t>
  </si>
  <si>
    <t>D1, D3</t>
  </si>
  <si>
    <t>Littium ion UPS module</t>
  </si>
  <si>
    <t>5V</t>
  </si>
  <si>
    <t>Real Time Clock</t>
  </si>
  <si>
    <t>R1, R10, R11, R2, R7, R8, R9</t>
  </si>
  <si>
    <t>R12</t>
  </si>
  <si>
    <t>1K</t>
  </si>
  <si>
    <t>220R</t>
  </si>
  <si>
    <t>1.3K</t>
  </si>
  <si>
    <t>4.7K</t>
  </si>
  <si>
    <t>R5</t>
  </si>
  <si>
    <t>R6</t>
  </si>
  <si>
    <t>J11, J13, J14, J15</t>
  </si>
  <si>
    <t>J2</t>
  </si>
  <si>
    <t>SD Module</t>
  </si>
  <si>
    <t>OLED Screen</t>
  </si>
  <si>
    <t>Transistor</t>
  </si>
  <si>
    <t>2SC1815</t>
  </si>
  <si>
    <t>NFC module</t>
  </si>
  <si>
    <t>SD card</t>
  </si>
  <si>
    <t>2gb</t>
  </si>
  <si>
    <t>ESP32-S3-DEVKITC</t>
  </si>
  <si>
    <t>SW2,SW3,SW4,SW5,SW6</t>
  </si>
  <si>
    <t>Push button</t>
  </si>
  <si>
    <t>Littium ion battery</t>
  </si>
  <si>
    <t>3000mAh</t>
  </si>
  <si>
    <t>USB port</t>
  </si>
  <si>
    <t>Type-C</t>
  </si>
  <si>
    <t>NFC Tags</t>
  </si>
  <si>
    <t>USB Keyboard</t>
  </si>
  <si>
    <t>ESP32-S3 Dev Board/N8N8</t>
  </si>
  <si>
    <t>PN532</t>
  </si>
  <si>
    <t>NTA213</t>
  </si>
  <si>
    <t>2.42 inch 128 x 64 i2c</t>
  </si>
  <si>
    <t>TF micro SD Card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</si>
</sst>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33"/>
  <sheetViews>
    <sheetView tabSelected="1" zoomScale="85" zoomScaleNormal="85" workbookViewId="0">
      <selection activeCell="B39" sqref="B39"/>
    </sheetView>
  </sheetViews>
  <sheetFormatPr defaultRowHeight="15" x14ac:dyDescent="0.25"/>
  <cols>
    <col min="1" max="1" width="29.28515625" customWidth="1"/>
    <col min="2" max="2" width="47.8554687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7</v>
      </c>
      <c r="B2" s="2" t="s">
        <v>8</v>
      </c>
      <c r="C2" s="2" t="s">
        <v>12</v>
      </c>
      <c r="D2" s="2" t="s">
        <v>9</v>
      </c>
      <c r="E2" s="2">
        <v>1</v>
      </c>
      <c r="F2" s="5">
        <v>200</v>
      </c>
      <c r="G2" s="5">
        <f t="shared" ref="G2:G26" si="0">E2*F2</f>
        <v>200</v>
      </c>
    </row>
    <row r="3" spans="1:7" x14ac:dyDescent="0.25">
      <c r="B3" s="2" t="s">
        <v>41</v>
      </c>
      <c r="C3" s="2" t="s">
        <v>10</v>
      </c>
      <c r="D3" s="3" t="s">
        <v>9</v>
      </c>
      <c r="E3" s="2">
        <v>10</v>
      </c>
      <c r="F3" s="5">
        <v>100</v>
      </c>
      <c r="G3" s="5">
        <f t="shared" si="0"/>
        <v>1000</v>
      </c>
    </row>
    <row r="4" spans="1:7" x14ac:dyDescent="0.25">
      <c r="A4" t="s">
        <v>28</v>
      </c>
      <c r="B4" s="2" t="s">
        <v>46</v>
      </c>
      <c r="C4" s="2" t="s">
        <v>13</v>
      </c>
      <c r="D4" s="3" t="s">
        <v>14</v>
      </c>
      <c r="E4" s="2">
        <v>2</v>
      </c>
      <c r="F4" s="5">
        <v>50</v>
      </c>
      <c r="G4" s="5">
        <f t="shared" si="0"/>
        <v>100</v>
      </c>
    </row>
    <row r="5" spans="1:7" x14ac:dyDescent="0.25">
      <c r="B5" s="2" t="s">
        <v>15</v>
      </c>
      <c r="C5" s="1" t="s">
        <v>16</v>
      </c>
      <c r="D5" s="3" t="s">
        <v>11</v>
      </c>
      <c r="E5" s="2">
        <v>1</v>
      </c>
      <c r="F5" s="5">
        <v>200</v>
      </c>
      <c r="G5" s="5">
        <f t="shared" si="0"/>
        <v>200</v>
      </c>
    </row>
    <row r="6" spans="1:7" x14ac:dyDescent="0.25">
      <c r="A6" t="s">
        <v>42</v>
      </c>
      <c r="B6" s="2" t="s">
        <v>43</v>
      </c>
      <c r="C6" s="1" t="s">
        <v>44</v>
      </c>
      <c r="D6" s="3" t="s">
        <v>45</v>
      </c>
      <c r="E6" s="2">
        <v>1</v>
      </c>
      <c r="F6" s="5">
        <v>15000</v>
      </c>
      <c r="G6" s="5">
        <f t="shared" si="0"/>
        <v>15000</v>
      </c>
    </row>
    <row r="7" spans="1:7" x14ac:dyDescent="0.25">
      <c r="A7" t="s">
        <v>47</v>
      </c>
      <c r="C7" s="2" t="s">
        <v>48</v>
      </c>
      <c r="E7" s="2">
        <v>1</v>
      </c>
      <c r="F7" s="5">
        <v>8000</v>
      </c>
      <c r="G7" s="5">
        <f t="shared" si="0"/>
        <v>8000</v>
      </c>
    </row>
    <row r="8" spans="1:7" x14ac:dyDescent="0.25">
      <c r="A8" t="s">
        <v>70</v>
      </c>
      <c r="C8" s="2" t="s">
        <v>71</v>
      </c>
      <c r="E8" s="2">
        <v>2</v>
      </c>
      <c r="F8" s="5">
        <v>3200</v>
      </c>
      <c r="G8" s="5">
        <f t="shared" si="0"/>
        <v>6400</v>
      </c>
    </row>
    <row r="9" spans="1:7" x14ac:dyDescent="0.25">
      <c r="A9" t="s">
        <v>65</v>
      </c>
      <c r="C9" s="2" t="s">
        <v>66</v>
      </c>
      <c r="E9" s="2">
        <v>1</v>
      </c>
      <c r="F9" s="5">
        <v>4000</v>
      </c>
      <c r="G9" s="5">
        <f t="shared" si="0"/>
        <v>4000</v>
      </c>
    </row>
    <row r="10" spans="1:7" x14ac:dyDescent="0.25">
      <c r="A10" t="s">
        <v>60</v>
      </c>
      <c r="B10" s="2"/>
      <c r="C10" s="2" t="s">
        <v>80</v>
      </c>
      <c r="D10" s="3"/>
      <c r="E10" s="2">
        <v>1</v>
      </c>
      <c r="F10" s="5">
        <v>400</v>
      </c>
      <c r="G10" s="5">
        <f t="shared" si="0"/>
        <v>400</v>
      </c>
    </row>
    <row r="11" spans="1:7" x14ac:dyDescent="0.25">
      <c r="A11" t="s">
        <v>61</v>
      </c>
      <c r="B11" s="2"/>
      <c r="C11" s="2" t="s">
        <v>79</v>
      </c>
      <c r="D11" s="3"/>
      <c r="E11" s="2">
        <v>1</v>
      </c>
      <c r="F11" s="5">
        <v>20500</v>
      </c>
      <c r="G11" s="5">
        <f>E11*F11</f>
        <v>20500</v>
      </c>
    </row>
    <row r="12" spans="1:7" x14ac:dyDescent="0.25">
      <c r="A12" t="s">
        <v>64</v>
      </c>
      <c r="B12" s="2"/>
      <c r="C12" s="2" t="s">
        <v>77</v>
      </c>
      <c r="D12" s="3"/>
      <c r="E12" s="2">
        <v>1</v>
      </c>
      <c r="F12" s="5">
        <v>5500</v>
      </c>
      <c r="G12" s="5">
        <f>E12*F12</f>
        <v>5500</v>
      </c>
    </row>
    <row r="13" spans="1:7" x14ac:dyDescent="0.25">
      <c r="A13" t="s">
        <v>62</v>
      </c>
      <c r="B13" s="2" t="s">
        <v>20</v>
      </c>
      <c r="C13" s="2" t="s">
        <v>63</v>
      </c>
      <c r="D13" s="3"/>
      <c r="E13" s="2">
        <v>1</v>
      </c>
      <c r="F13" s="5">
        <v>300</v>
      </c>
      <c r="G13" s="5">
        <f>E13*F13</f>
        <v>300</v>
      </c>
    </row>
    <row r="14" spans="1:7" x14ac:dyDescent="0.25">
      <c r="A14" t="s">
        <v>23</v>
      </c>
      <c r="B14" s="2" t="s">
        <v>58</v>
      </c>
      <c r="C14" s="2" t="s">
        <v>22</v>
      </c>
      <c r="D14" s="3" t="s">
        <v>17</v>
      </c>
      <c r="E14" s="2">
        <v>1</v>
      </c>
      <c r="F14" s="5">
        <v>100</v>
      </c>
      <c r="G14" s="5">
        <f t="shared" si="0"/>
        <v>100</v>
      </c>
    </row>
    <row r="15" spans="1:7" x14ac:dyDescent="0.25">
      <c r="B15" s="2" t="s">
        <v>59</v>
      </c>
      <c r="C15" s="2" t="s">
        <v>22</v>
      </c>
      <c r="D15" s="3" t="s">
        <v>18</v>
      </c>
      <c r="E15" s="2">
        <v>1</v>
      </c>
      <c r="F15" s="5">
        <v>100</v>
      </c>
      <c r="G15" s="5">
        <f t="shared" si="0"/>
        <v>100</v>
      </c>
    </row>
    <row r="16" spans="1:7" x14ac:dyDescent="0.25">
      <c r="A16" t="s">
        <v>24</v>
      </c>
      <c r="B16" s="2" t="s">
        <v>19</v>
      </c>
      <c r="C16" s="2" t="s">
        <v>25</v>
      </c>
      <c r="D16" s="3" t="s">
        <v>26</v>
      </c>
      <c r="E16" s="2">
        <v>1</v>
      </c>
      <c r="F16" s="5">
        <v>400</v>
      </c>
      <c r="G16" s="5">
        <f t="shared" si="0"/>
        <v>400</v>
      </c>
    </row>
    <row r="17" spans="1:7" x14ac:dyDescent="0.25">
      <c r="A17" t="s">
        <v>49</v>
      </c>
      <c r="B17" s="2"/>
      <c r="C17" s="2"/>
      <c r="D17" s="3"/>
      <c r="E17" s="2">
        <v>1</v>
      </c>
      <c r="F17" s="5">
        <v>2500</v>
      </c>
      <c r="G17" s="5">
        <f t="shared" si="0"/>
        <v>2500</v>
      </c>
    </row>
    <row r="18" spans="1:7" x14ac:dyDescent="0.25">
      <c r="A18" t="s">
        <v>27</v>
      </c>
      <c r="B18" s="2" t="s">
        <v>51</v>
      </c>
      <c r="C18" s="2" t="s">
        <v>52</v>
      </c>
      <c r="D18" s="3" t="s">
        <v>9</v>
      </c>
      <c r="E18" s="2">
        <v>1</v>
      </c>
      <c r="F18" s="5">
        <v>150</v>
      </c>
      <c r="G18" s="5">
        <f t="shared" si="0"/>
        <v>150</v>
      </c>
    </row>
    <row r="19" spans="1:7" x14ac:dyDescent="0.25">
      <c r="B19" s="2" t="s">
        <v>50</v>
      </c>
      <c r="C19" s="2" t="s">
        <v>29</v>
      </c>
      <c r="D19" s="3" t="s">
        <v>9</v>
      </c>
      <c r="E19" s="2">
        <v>7</v>
      </c>
      <c r="F19" s="5">
        <v>150</v>
      </c>
      <c r="G19" s="5">
        <f t="shared" si="0"/>
        <v>1050</v>
      </c>
    </row>
    <row r="20" spans="1:7" x14ac:dyDescent="0.25">
      <c r="B20" s="2" t="s">
        <v>30</v>
      </c>
      <c r="C20" s="2" t="s">
        <v>53</v>
      </c>
      <c r="D20" s="3" t="s">
        <v>9</v>
      </c>
      <c r="E20" s="2">
        <v>2</v>
      </c>
      <c r="F20" s="5">
        <v>150</v>
      </c>
      <c r="G20" s="5">
        <f t="shared" si="0"/>
        <v>300</v>
      </c>
    </row>
    <row r="21" spans="1:7" x14ac:dyDescent="0.25">
      <c r="B21" s="2" t="s">
        <v>56</v>
      </c>
      <c r="C21" s="2" t="s">
        <v>54</v>
      </c>
      <c r="D21" s="3" t="s">
        <v>9</v>
      </c>
      <c r="E21" s="2">
        <v>1</v>
      </c>
      <c r="F21" s="5">
        <v>150</v>
      </c>
      <c r="G21" s="5">
        <f t="shared" si="0"/>
        <v>150</v>
      </c>
    </row>
    <row r="22" spans="1:7" x14ac:dyDescent="0.25">
      <c r="B22" s="2" t="s">
        <v>57</v>
      </c>
      <c r="C22" s="2" t="s">
        <v>55</v>
      </c>
      <c r="D22" s="3" t="s">
        <v>9</v>
      </c>
      <c r="E22" s="2">
        <v>1</v>
      </c>
      <c r="F22" s="5">
        <v>150</v>
      </c>
      <c r="G22" s="5">
        <f t="shared" si="0"/>
        <v>150</v>
      </c>
    </row>
    <row r="23" spans="1:7" x14ac:dyDescent="0.25">
      <c r="A23" t="s">
        <v>74</v>
      </c>
      <c r="B23" s="2"/>
      <c r="C23" s="2" t="s">
        <v>78</v>
      </c>
      <c r="D23" s="3"/>
      <c r="E23" s="2">
        <v>10</v>
      </c>
      <c r="F23" s="5">
        <v>1000</v>
      </c>
      <c r="G23" s="5">
        <f t="shared" si="0"/>
        <v>10000</v>
      </c>
    </row>
    <row r="24" spans="1:7" x14ac:dyDescent="0.25">
      <c r="A24" t="s">
        <v>31</v>
      </c>
      <c r="B24" s="2" t="s">
        <v>68</v>
      </c>
      <c r="C24" s="2" t="s">
        <v>69</v>
      </c>
      <c r="D24" s="3"/>
      <c r="E24" s="2">
        <v>2</v>
      </c>
      <c r="F24" s="5">
        <v>300</v>
      </c>
      <c r="G24" s="5">
        <f t="shared" si="0"/>
        <v>600</v>
      </c>
    </row>
    <row r="25" spans="1:7" x14ac:dyDescent="0.25">
      <c r="A25" t="s">
        <v>32</v>
      </c>
      <c r="B25" s="2" t="s">
        <v>21</v>
      </c>
      <c r="C25" s="2" t="s">
        <v>33</v>
      </c>
      <c r="D25" s="3" t="s">
        <v>34</v>
      </c>
      <c r="E25" s="2">
        <v>1</v>
      </c>
      <c r="F25" s="5">
        <v>900</v>
      </c>
      <c r="G25" s="5">
        <f t="shared" si="0"/>
        <v>900</v>
      </c>
    </row>
    <row r="26" spans="1:7" x14ac:dyDescent="0.25">
      <c r="A26" t="s">
        <v>35</v>
      </c>
      <c r="B26" s="2"/>
      <c r="C26" s="2" t="s">
        <v>76</v>
      </c>
      <c r="D26" s="3" t="s">
        <v>67</v>
      </c>
      <c r="E26" s="2">
        <v>1</v>
      </c>
      <c r="F26" s="5">
        <v>18000</v>
      </c>
      <c r="G26" s="5">
        <f t="shared" si="0"/>
        <v>18000</v>
      </c>
    </row>
    <row r="27" spans="1:7" x14ac:dyDescent="0.25">
      <c r="A27" t="s">
        <v>39</v>
      </c>
      <c r="B27" s="2"/>
      <c r="C27" s="2"/>
      <c r="E27" s="2"/>
      <c r="F27" s="5"/>
      <c r="G27" s="5">
        <v>12000</v>
      </c>
    </row>
    <row r="28" spans="1:7" x14ac:dyDescent="0.25">
      <c r="A28" t="s">
        <v>75</v>
      </c>
      <c r="B28" s="2"/>
      <c r="C28" s="2"/>
      <c r="E28" s="2"/>
      <c r="F28" s="5"/>
      <c r="G28" s="5">
        <v>15000</v>
      </c>
    </row>
    <row r="29" spans="1:7" x14ac:dyDescent="0.25">
      <c r="A29" t="s">
        <v>72</v>
      </c>
      <c r="B29" s="2"/>
      <c r="C29" s="2" t="s">
        <v>73</v>
      </c>
      <c r="E29" s="2"/>
      <c r="F29" s="5"/>
      <c r="G29" s="5">
        <v>1000</v>
      </c>
    </row>
    <row r="30" spans="1:7" x14ac:dyDescent="0.25">
      <c r="A30" t="s">
        <v>36</v>
      </c>
      <c r="F30" s="5"/>
      <c r="G30" s="5">
        <v>12000</v>
      </c>
    </row>
    <row r="31" spans="1:7" x14ac:dyDescent="0.25">
      <c r="A31" t="s">
        <v>37</v>
      </c>
      <c r="F31" s="5"/>
      <c r="G31" s="5">
        <v>12000</v>
      </c>
    </row>
    <row r="32" spans="1:7" x14ac:dyDescent="0.25">
      <c r="A32" t="s">
        <v>38</v>
      </c>
      <c r="F32" s="5"/>
      <c r="G32" s="5">
        <v>6600</v>
      </c>
    </row>
    <row r="33" spans="1:7" x14ac:dyDescent="0.25">
      <c r="A33" t="s">
        <v>40</v>
      </c>
      <c r="F33" s="7"/>
      <c r="G33" s="5">
        <f>SUM(G2:G32)</f>
        <v>154600</v>
      </c>
    </row>
  </sheetData>
  <pageMargins left="0.7" right="0.7" top="0.75" bottom="0.75" header="0.3" footer="0.3"/>
  <ignoredErrors>
    <ignoredError sqref="D2:D3 D18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2026-03-10T16:06:39Z</dcterms:modified>
</cp:coreProperties>
</file>