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esktop\"/>
    </mc:Choice>
  </mc:AlternateContent>
  <xr:revisionPtr revIDLastSave="0" documentId="13_ncr:1_{3D4B5A9A-3B0C-4954-AF66-9CC760030531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10" i="1"/>
  <c r="G16" i="1"/>
  <c r="G15" i="1"/>
  <c r="G39" i="1"/>
  <c r="G37" i="1"/>
  <c r="G35" i="1"/>
  <c r="G11" i="1"/>
  <c r="G9" i="1"/>
  <c r="G8" i="1"/>
  <c r="G7" i="1"/>
  <c r="G6" i="1"/>
  <c r="G5" i="1"/>
  <c r="G4" i="1"/>
  <c r="G3" i="1"/>
  <c r="G17" i="1"/>
  <c r="G31" i="1"/>
  <c r="G30" i="1"/>
  <c r="G22" i="1"/>
  <c r="G21" i="1"/>
  <c r="G20" i="1"/>
  <c r="G18" i="1"/>
  <c r="G33" i="1"/>
  <c r="G13" i="1"/>
  <c r="G2" i="1"/>
  <c r="G36" i="1"/>
  <c r="G34" i="1"/>
  <c r="G29" i="1"/>
  <c r="G32" i="1"/>
  <c r="G28" i="1"/>
  <c r="G27" i="1"/>
  <c r="G26" i="1"/>
  <c r="G25" i="1"/>
  <c r="G24" i="1"/>
  <c r="G23" i="1"/>
  <c r="G19" i="1"/>
  <c r="G14" i="1"/>
  <c r="G12" i="1"/>
  <c r="G45" i="1" l="1"/>
</calcChain>
</file>

<file path=xl/sharedStrings.xml><?xml version="1.0" encoding="utf-8"?>
<sst xmlns="http://schemas.openxmlformats.org/spreadsheetml/2006/main" count="131" uniqueCount="121">
  <si>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</si>
  <si>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</si>
  <si>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</si>
  <si>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</si>
  <si>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</si>
  <si>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</si>
  <si>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</si>
  <si>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</si>
  <si>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0805</t>
  </si>
  <si>
    <t>100nF</t>
  </si>
  <si>
    <t>D_SMA</t>
  </si>
  <si>
    <t>220uF/16V</t>
  </si>
  <si>
    <t>LED_D3.0mm</t>
  </si>
  <si>
    <t>1N5824</t>
  </si>
  <si>
    <t>1x06_P2.54mm</t>
  </si>
  <si>
    <t>1x04_P2.54mm</t>
  </si>
  <si>
    <t>L1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</si>
  <si>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</si>
  <si>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</si>
  <si>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</si>
  <si>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</si>
  <si>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</si>
  <si>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</si>
  <si>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</si>
  <si>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</si>
  <si>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</si>
  <si>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Tact Button</t>
  </si>
  <si>
    <t>Voltage Regulator</t>
  </si>
  <si>
    <t>LM2596S-3.3V</t>
  </si>
  <si>
    <t>TO-263-5</t>
  </si>
  <si>
    <t>Microcontroller</t>
  </si>
  <si>
    <t>Casing</t>
  </si>
  <si>
    <t>Miscellaneous</t>
  </si>
  <si>
    <t>Transportation fee</t>
  </si>
  <si>
    <t>PCB fabrication</t>
  </si>
  <si>
    <t>Total</t>
  </si>
  <si>
    <t>Buzzer</t>
  </si>
  <si>
    <t>BZ1</t>
  </si>
  <si>
    <t xml:space="preserve">Small </t>
  </si>
  <si>
    <t>Buzzer_12x9.5RM7.6</t>
  </si>
  <si>
    <t>R6</t>
  </si>
  <si>
    <t>Push button</t>
  </si>
  <si>
    <t>USB port</t>
  </si>
  <si>
    <t>Type-C</t>
  </si>
  <si>
    <t>Elec_6.3x7.7</t>
  </si>
  <si>
    <t>22pF</t>
  </si>
  <si>
    <t>Elec_10x12.5</t>
  </si>
  <si>
    <t>4.7uF/16V</t>
  </si>
  <si>
    <t>EIA-3528-21</t>
  </si>
  <si>
    <t>470nF</t>
  </si>
  <si>
    <t>10uF/16V</t>
  </si>
  <si>
    <t>Radial_D5.0mm_P2.00mm</t>
  </si>
  <si>
    <t>D1, D4</t>
  </si>
  <si>
    <t>1N5819</t>
  </si>
  <si>
    <t>D2</t>
  </si>
  <si>
    <t>Red/Green</t>
  </si>
  <si>
    <t>J1</t>
  </si>
  <si>
    <t>Opto-Coupler</t>
  </si>
  <si>
    <t>PC817X1</t>
  </si>
  <si>
    <t>SMDIP-4_W9.53mm</t>
  </si>
  <si>
    <t>UMH3N</t>
  </si>
  <si>
    <t>SOT-363_SC-70-6</t>
  </si>
  <si>
    <t>Digital Transistor</t>
  </si>
  <si>
    <t>330R</t>
  </si>
  <si>
    <t>20K</t>
  </si>
  <si>
    <t>SW2,SW3</t>
  </si>
  <si>
    <t xml:space="preserve">SW1 </t>
  </si>
  <si>
    <t>SW_SPST_CK_KXT3</t>
  </si>
  <si>
    <t>U2</t>
  </si>
  <si>
    <t>SOT-223-3</t>
  </si>
  <si>
    <t>AMS1117-3.3V</t>
  </si>
  <si>
    <t>ESP32-WROOM-32U</t>
  </si>
  <si>
    <t>ESP32-WROOM-32</t>
  </si>
  <si>
    <t>USB-Serial Converter</t>
  </si>
  <si>
    <t>U4</t>
  </si>
  <si>
    <t>U3</t>
  </si>
  <si>
    <t>CH340C</t>
  </si>
  <si>
    <t>SOIC-16_3.9x9.9mm_P1.27mm</t>
  </si>
  <si>
    <t>Crystal</t>
  </si>
  <si>
    <t>Crystal_HC49-4H_Vertical</t>
  </si>
  <si>
    <t>Y1</t>
  </si>
  <si>
    <t>12MHz</t>
  </si>
  <si>
    <t>C1, C10, C11, C17, C18, C2, C21, C22, C3, C4, C5, C6</t>
  </si>
  <si>
    <t>C12, C7</t>
  </si>
  <si>
    <t>C13, C14</t>
  </si>
  <si>
    <t>680uF/35V</t>
  </si>
  <si>
    <t>C19, C20</t>
  </si>
  <si>
    <t>C15, C16</t>
  </si>
  <si>
    <t>C8</t>
  </si>
  <si>
    <t>C9</t>
  </si>
  <si>
    <t>D1</t>
  </si>
  <si>
    <t>3.3V Zener</t>
  </si>
  <si>
    <t>D_SOD-123</t>
  </si>
  <si>
    <t>D3, D5, D6</t>
  </si>
  <si>
    <t>DC pump</t>
  </si>
  <si>
    <t>12V Immersible Pump</t>
  </si>
  <si>
    <t xml:space="preserve">LCD Screen </t>
  </si>
  <si>
    <t xml:space="preserve">2004 I2C </t>
  </si>
  <si>
    <t>Soil Sensor</t>
  </si>
  <si>
    <t>Temperature &amp; Humidity Sensor</t>
  </si>
  <si>
    <t>AM2301A</t>
  </si>
  <si>
    <t>Ultrasonic Sensor</t>
  </si>
  <si>
    <t>MOSFET</t>
  </si>
  <si>
    <t>Q3</t>
  </si>
  <si>
    <t>IRLML6344</t>
  </si>
  <si>
    <t>SOT-23</t>
  </si>
  <si>
    <t>Rotary Encoder</t>
  </si>
  <si>
    <t>R1, R11, R14, R15, R2, R3, R4, R5, R9</t>
  </si>
  <si>
    <t>R7</t>
  </si>
  <si>
    <t>1K</t>
  </si>
  <si>
    <t>2K</t>
  </si>
  <si>
    <t>R8</t>
  </si>
  <si>
    <t>R10, R12, R13</t>
  </si>
  <si>
    <t>Battery Management System</t>
  </si>
  <si>
    <t>3S/40A</t>
  </si>
  <si>
    <t>Lithium Ion Battery</t>
  </si>
  <si>
    <t>3500mA</t>
  </si>
  <si>
    <t>Solar Panel</t>
  </si>
  <si>
    <t>12V/30W</t>
  </si>
  <si>
    <t>Q1, Q2</t>
  </si>
  <si>
    <t>Capacitive Soil Moisture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</si>
</sst>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45"/>
  <sheetViews>
    <sheetView tabSelected="1" zoomScale="70" zoomScaleNormal="70" workbookViewId="0">
      <selection activeCell="G43" sqref="G43"/>
    </sheetView>
  </sheetViews>
  <sheetFormatPr defaultRowHeight="15" x14ac:dyDescent="0.25"/>
  <cols>
    <col min="1" max="1" width="31.5703125" customWidth="1"/>
    <col min="2" max="2" width="49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86</v>
      </c>
      <c r="C2" s="2" t="s">
        <v>11</v>
      </c>
      <c r="D2" s="2" t="s">
        <v>44</v>
      </c>
      <c r="E2" s="2">
        <v>2</v>
      </c>
      <c r="F2" s="5">
        <v>200</v>
      </c>
      <c r="G2" s="5">
        <f t="shared" ref="G2:G39" si="0">E2*F2</f>
        <v>400</v>
      </c>
    </row>
    <row r="3" spans="1:7" x14ac:dyDescent="0.25">
      <c r="B3" s="2" t="s">
        <v>84</v>
      </c>
      <c r="C3" s="2" t="s">
        <v>85</v>
      </c>
      <c r="D3" s="2" t="s">
        <v>46</v>
      </c>
      <c r="E3" s="2">
        <v>2</v>
      </c>
      <c r="F3" s="5">
        <v>300</v>
      </c>
      <c r="G3" s="5">
        <f t="shared" ref="G3:G11" si="1">E3*F3</f>
        <v>600</v>
      </c>
    </row>
    <row r="4" spans="1:7" x14ac:dyDescent="0.25">
      <c r="B4" s="2" t="s">
        <v>83</v>
      </c>
      <c r="C4" s="2" t="s">
        <v>47</v>
      </c>
      <c r="D4" s="2" t="s">
        <v>48</v>
      </c>
      <c r="E4" s="2">
        <v>2</v>
      </c>
      <c r="F4" s="5">
        <v>250</v>
      </c>
      <c r="G4" s="5">
        <f t="shared" si="1"/>
        <v>500</v>
      </c>
    </row>
    <row r="5" spans="1:7" x14ac:dyDescent="0.25">
      <c r="B5" s="2" t="s">
        <v>88</v>
      </c>
      <c r="C5" s="2" t="s">
        <v>50</v>
      </c>
      <c r="D5" s="2" t="s">
        <v>51</v>
      </c>
      <c r="E5" s="2">
        <v>1</v>
      </c>
      <c r="F5" s="5">
        <v>250</v>
      </c>
      <c r="G5" s="5">
        <f t="shared" si="1"/>
        <v>250</v>
      </c>
    </row>
    <row r="6" spans="1:7" x14ac:dyDescent="0.25">
      <c r="B6" s="2" t="s">
        <v>89</v>
      </c>
      <c r="C6" s="2" t="s">
        <v>49</v>
      </c>
      <c r="D6" s="3" t="s">
        <v>8</v>
      </c>
      <c r="E6" s="2">
        <v>1</v>
      </c>
      <c r="F6" s="5">
        <v>200</v>
      </c>
      <c r="G6" s="5">
        <f t="shared" si="1"/>
        <v>200</v>
      </c>
    </row>
    <row r="7" spans="1:7" x14ac:dyDescent="0.25">
      <c r="B7" s="2" t="s">
        <v>87</v>
      </c>
      <c r="C7" s="2" t="s">
        <v>45</v>
      </c>
      <c r="D7" s="3" t="s">
        <v>8</v>
      </c>
      <c r="E7" s="2">
        <v>2</v>
      </c>
      <c r="F7" s="5">
        <v>100</v>
      </c>
      <c r="G7" s="5">
        <f t="shared" si="1"/>
        <v>200</v>
      </c>
    </row>
    <row r="8" spans="1:7" x14ac:dyDescent="0.25">
      <c r="B8" s="2" t="s">
        <v>82</v>
      </c>
      <c r="C8" s="2" t="s">
        <v>9</v>
      </c>
      <c r="D8" s="3" t="s">
        <v>8</v>
      </c>
      <c r="E8" s="2">
        <v>12</v>
      </c>
      <c r="F8" s="5">
        <v>100</v>
      </c>
      <c r="G8" s="5">
        <f t="shared" si="1"/>
        <v>1200</v>
      </c>
    </row>
    <row r="9" spans="1:7" x14ac:dyDescent="0.25">
      <c r="A9" t="s">
        <v>24</v>
      </c>
      <c r="B9" s="2" t="s">
        <v>93</v>
      </c>
      <c r="C9" s="2" t="s">
        <v>55</v>
      </c>
      <c r="D9" s="3" t="s">
        <v>12</v>
      </c>
      <c r="E9" s="2">
        <v>3</v>
      </c>
      <c r="F9" s="5">
        <v>50</v>
      </c>
      <c r="G9" s="5">
        <f t="shared" si="1"/>
        <v>150</v>
      </c>
    </row>
    <row r="10" spans="1:7" x14ac:dyDescent="0.25">
      <c r="B10" s="2" t="s">
        <v>90</v>
      </c>
      <c r="C10" s="2" t="s">
        <v>91</v>
      </c>
      <c r="D10" s="3" t="s">
        <v>92</v>
      </c>
      <c r="E10" s="2">
        <v>1</v>
      </c>
      <c r="F10" s="5">
        <v>250</v>
      </c>
      <c r="G10" s="5">
        <f t="shared" si="1"/>
        <v>250</v>
      </c>
    </row>
    <row r="11" spans="1:7" x14ac:dyDescent="0.25">
      <c r="B11" s="2" t="s">
        <v>54</v>
      </c>
      <c r="C11" s="2" t="s">
        <v>13</v>
      </c>
      <c r="D11" s="3" t="s">
        <v>10</v>
      </c>
      <c r="E11" s="2">
        <v>2</v>
      </c>
      <c r="F11" s="5">
        <v>200</v>
      </c>
      <c r="G11" s="5">
        <f t="shared" si="1"/>
        <v>400</v>
      </c>
    </row>
    <row r="12" spans="1:7" x14ac:dyDescent="0.25">
      <c r="B12" s="2" t="s">
        <v>52</v>
      </c>
      <c r="C12" s="1" t="s">
        <v>53</v>
      </c>
      <c r="D12" s="3" t="s">
        <v>10</v>
      </c>
      <c r="E12" s="2">
        <v>2</v>
      </c>
      <c r="F12" s="5">
        <v>200</v>
      </c>
      <c r="G12" s="5">
        <f t="shared" si="0"/>
        <v>400</v>
      </c>
    </row>
    <row r="13" spans="1:7" x14ac:dyDescent="0.25">
      <c r="A13" t="s">
        <v>36</v>
      </c>
      <c r="B13" s="2" t="s">
        <v>37</v>
      </c>
      <c r="C13" s="1" t="s">
        <v>38</v>
      </c>
      <c r="D13" s="3" t="s">
        <v>39</v>
      </c>
      <c r="E13" s="2">
        <v>1</v>
      </c>
      <c r="F13" s="5">
        <v>700</v>
      </c>
      <c r="G13" s="5">
        <f t="shared" si="0"/>
        <v>700</v>
      </c>
    </row>
    <row r="14" spans="1:7" x14ac:dyDescent="0.25">
      <c r="A14" t="s">
        <v>113</v>
      </c>
      <c r="C14" s="2" t="s">
        <v>114</v>
      </c>
      <c r="E14" s="2">
        <v>1</v>
      </c>
      <c r="F14" s="5">
        <v>8000</v>
      </c>
      <c r="G14" s="5">
        <f t="shared" si="0"/>
        <v>8000</v>
      </c>
    </row>
    <row r="15" spans="1:7" x14ac:dyDescent="0.25">
      <c r="A15" t="s">
        <v>115</v>
      </c>
      <c r="C15" s="2" t="s">
        <v>116</v>
      </c>
      <c r="E15" s="2">
        <v>9</v>
      </c>
      <c r="F15" s="5">
        <v>3200</v>
      </c>
      <c r="G15" s="5">
        <f>E15*F15</f>
        <v>28800</v>
      </c>
    </row>
    <row r="16" spans="1:7" x14ac:dyDescent="0.25">
      <c r="A16" t="s">
        <v>117</v>
      </c>
      <c r="C16" s="2" t="s">
        <v>118</v>
      </c>
      <c r="E16" s="2">
        <v>1</v>
      </c>
      <c r="F16" s="5">
        <v>30000</v>
      </c>
      <c r="G16" s="5">
        <f>E16*F16</f>
        <v>30000</v>
      </c>
    </row>
    <row r="17" spans="1:7" x14ac:dyDescent="0.25">
      <c r="A17" t="s">
        <v>94</v>
      </c>
      <c r="C17" s="2" t="s">
        <v>95</v>
      </c>
      <c r="E17" s="2">
        <v>2</v>
      </c>
      <c r="F17" s="5">
        <v>4000</v>
      </c>
      <c r="G17" s="5">
        <f t="shared" si="0"/>
        <v>8000</v>
      </c>
    </row>
    <row r="18" spans="1:7" x14ac:dyDescent="0.25">
      <c r="A18" t="s">
        <v>96</v>
      </c>
      <c r="C18" s="2" t="s">
        <v>97</v>
      </c>
      <c r="E18" s="2">
        <v>1</v>
      </c>
      <c r="F18" s="5">
        <v>8400</v>
      </c>
      <c r="G18" s="5">
        <f t="shared" si="0"/>
        <v>8400</v>
      </c>
    </row>
    <row r="19" spans="1:7" x14ac:dyDescent="0.25">
      <c r="A19" t="s">
        <v>98</v>
      </c>
      <c r="B19" s="2"/>
      <c r="C19" s="2" t="s">
        <v>120</v>
      </c>
      <c r="D19" s="3"/>
      <c r="E19" s="2">
        <v>1</v>
      </c>
      <c r="F19" s="5">
        <v>3000</v>
      </c>
      <c r="G19" s="5">
        <f t="shared" si="0"/>
        <v>3000</v>
      </c>
    </row>
    <row r="20" spans="1:7" x14ac:dyDescent="0.25">
      <c r="A20" t="s">
        <v>99</v>
      </c>
      <c r="B20" s="2" t="s">
        <v>56</v>
      </c>
      <c r="C20" s="2" t="s">
        <v>100</v>
      </c>
      <c r="D20" s="3"/>
      <c r="E20" s="2">
        <v>1</v>
      </c>
      <c r="F20" s="5">
        <v>3000</v>
      </c>
      <c r="G20" s="5">
        <f>E20*F20</f>
        <v>3000</v>
      </c>
    </row>
    <row r="21" spans="1:7" x14ac:dyDescent="0.25">
      <c r="A21" t="s">
        <v>57</v>
      </c>
      <c r="B21" s="2"/>
      <c r="C21" s="2" t="s">
        <v>58</v>
      </c>
      <c r="D21" s="3" t="s">
        <v>59</v>
      </c>
      <c r="E21" s="2">
        <v>1</v>
      </c>
      <c r="F21" s="5">
        <v>500</v>
      </c>
      <c r="G21" s="5">
        <f>E21*F21</f>
        <v>500</v>
      </c>
    </row>
    <row r="22" spans="1:7" x14ac:dyDescent="0.25">
      <c r="A22" t="s">
        <v>62</v>
      </c>
      <c r="B22" s="2" t="s">
        <v>103</v>
      </c>
      <c r="C22" s="2" t="s">
        <v>60</v>
      </c>
      <c r="D22" s="3" t="s">
        <v>61</v>
      </c>
      <c r="E22" s="2">
        <v>1</v>
      </c>
      <c r="F22" s="5">
        <v>500</v>
      </c>
      <c r="G22" s="5">
        <f>E22*F22</f>
        <v>500</v>
      </c>
    </row>
    <row r="23" spans="1:7" x14ac:dyDescent="0.25">
      <c r="A23" t="s">
        <v>19</v>
      </c>
      <c r="B23" s="2"/>
      <c r="C23" s="2" t="s">
        <v>18</v>
      </c>
      <c r="D23" s="3" t="s">
        <v>14</v>
      </c>
      <c r="E23" s="2">
        <v>10</v>
      </c>
      <c r="F23" s="5">
        <v>200</v>
      </c>
      <c r="G23" s="5">
        <f t="shared" si="0"/>
        <v>2000</v>
      </c>
    </row>
    <row r="24" spans="1:7" x14ac:dyDescent="0.25">
      <c r="B24" s="2"/>
      <c r="C24" s="2" t="s">
        <v>18</v>
      </c>
      <c r="D24" s="3" t="s">
        <v>15</v>
      </c>
      <c r="E24" s="2">
        <v>10</v>
      </c>
      <c r="F24" s="5">
        <v>200</v>
      </c>
      <c r="G24" s="5">
        <f t="shared" si="0"/>
        <v>2000</v>
      </c>
    </row>
    <row r="25" spans="1:7" x14ac:dyDescent="0.25">
      <c r="A25" t="s">
        <v>20</v>
      </c>
      <c r="B25" s="2" t="s">
        <v>16</v>
      </c>
      <c r="C25" s="2" t="s">
        <v>21</v>
      </c>
      <c r="D25" s="3" t="s">
        <v>22</v>
      </c>
      <c r="E25" s="2">
        <v>1</v>
      </c>
      <c r="F25" s="5">
        <v>500</v>
      </c>
      <c r="G25" s="5">
        <f t="shared" si="0"/>
        <v>500</v>
      </c>
    </row>
    <row r="26" spans="1:7" x14ac:dyDescent="0.25">
      <c r="A26" t="s">
        <v>101</v>
      </c>
      <c r="B26" s="2"/>
      <c r="C26" s="2"/>
      <c r="D26" s="3"/>
      <c r="E26" s="2">
        <v>1</v>
      </c>
      <c r="F26" s="5">
        <v>2500</v>
      </c>
      <c r="G26" s="5">
        <f t="shared" si="0"/>
        <v>2500</v>
      </c>
    </row>
    <row r="27" spans="1:7" x14ac:dyDescent="0.25">
      <c r="A27" t="s">
        <v>23</v>
      </c>
      <c r="B27" s="2" t="s">
        <v>108</v>
      </c>
      <c r="C27" s="2" t="s">
        <v>109</v>
      </c>
      <c r="D27" s="3" t="s">
        <v>8</v>
      </c>
      <c r="E27" s="2">
        <v>1</v>
      </c>
      <c r="F27" s="5">
        <v>150</v>
      </c>
      <c r="G27" s="5">
        <f t="shared" si="0"/>
        <v>150</v>
      </c>
    </row>
    <row r="28" spans="1:7" x14ac:dyDescent="0.25">
      <c r="B28" s="2" t="s">
        <v>107</v>
      </c>
      <c r="C28" s="2" t="s">
        <v>25</v>
      </c>
      <c r="D28" s="3" t="s">
        <v>8</v>
      </c>
      <c r="E28" s="2">
        <v>9</v>
      </c>
      <c r="F28" s="5">
        <v>150</v>
      </c>
      <c r="G28" s="5">
        <f t="shared" si="0"/>
        <v>1350</v>
      </c>
    </row>
    <row r="29" spans="1:7" x14ac:dyDescent="0.25">
      <c r="B29" s="2" t="s">
        <v>112</v>
      </c>
      <c r="C29" s="2" t="s">
        <v>63</v>
      </c>
      <c r="D29" s="3" t="s">
        <v>8</v>
      </c>
      <c r="E29" s="2">
        <v>3</v>
      </c>
      <c r="F29" s="5">
        <v>150</v>
      </c>
      <c r="G29" s="5">
        <f t="shared" si="0"/>
        <v>450</v>
      </c>
    </row>
    <row r="30" spans="1:7" x14ac:dyDescent="0.25">
      <c r="B30" s="2" t="s">
        <v>40</v>
      </c>
      <c r="C30" s="2" t="s">
        <v>64</v>
      </c>
      <c r="D30" s="3" t="s">
        <v>8</v>
      </c>
      <c r="E30" s="2">
        <v>1</v>
      </c>
      <c r="F30" s="5">
        <v>150</v>
      </c>
      <c r="G30" s="5">
        <f t="shared" si="0"/>
        <v>150</v>
      </c>
    </row>
    <row r="31" spans="1:7" x14ac:dyDescent="0.25">
      <c r="B31" s="2" t="s">
        <v>111</v>
      </c>
      <c r="C31" s="2" t="s">
        <v>110</v>
      </c>
      <c r="D31" s="3" t="s">
        <v>8</v>
      </c>
      <c r="E31" s="2">
        <v>1</v>
      </c>
      <c r="F31" s="5">
        <v>150</v>
      </c>
      <c r="G31" s="5">
        <f t="shared" si="0"/>
        <v>150</v>
      </c>
    </row>
    <row r="32" spans="1:7" x14ac:dyDescent="0.25">
      <c r="A32" t="s">
        <v>106</v>
      </c>
      <c r="B32" s="2" t="s">
        <v>66</v>
      </c>
      <c r="C32" s="2" t="s">
        <v>106</v>
      </c>
      <c r="D32" s="3"/>
      <c r="E32" s="2">
        <v>1</v>
      </c>
      <c r="F32" s="5">
        <v>800</v>
      </c>
      <c r="G32" s="5">
        <f t="shared" si="0"/>
        <v>800</v>
      </c>
    </row>
    <row r="33" spans="1:7" x14ac:dyDescent="0.25">
      <c r="A33" t="s">
        <v>26</v>
      </c>
      <c r="B33" s="2" t="s">
        <v>65</v>
      </c>
      <c r="C33" s="2" t="s">
        <v>41</v>
      </c>
      <c r="D33" s="3" t="s">
        <v>67</v>
      </c>
      <c r="E33" s="2">
        <v>2</v>
      </c>
      <c r="F33" s="5">
        <v>300</v>
      </c>
      <c r="G33" s="5">
        <f t="shared" si="0"/>
        <v>600</v>
      </c>
    </row>
    <row r="34" spans="1:7" x14ac:dyDescent="0.25">
      <c r="A34" t="s">
        <v>27</v>
      </c>
      <c r="B34" s="2" t="s">
        <v>17</v>
      </c>
      <c r="C34" s="2" t="s">
        <v>28</v>
      </c>
      <c r="D34" s="3" t="s">
        <v>29</v>
      </c>
      <c r="E34" s="2">
        <v>2</v>
      </c>
      <c r="F34" s="5">
        <v>900</v>
      </c>
      <c r="G34" s="5">
        <f t="shared" si="0"/>
        <v>1800</v>
      </c>
    </row>
    <row r="35" spans="1:7" x14ac:dyDescent="0.25">
      <c r="B35" s="2" t="s">
        <v>68</v>
      </c>
      <c r="C35" s="2" t="s">
        <v>70</v>
      </c>
      <c r="D35" s="3" t="s">
        <v>69</v>
      </c>
      <c r="E35" s="2">
        <v>1</v>
      </c>
      <c r="F35" s="5">
        <v>400</v>
      </c>
      <c r="G35" s="5">
        <f t="shared" si="0"/>
        <v>400</v>
      </c>
    </row>
    <row r="36" spans="1:7" x14ac:dyDescent="0.25">
      <c r="A36" t="s">
        <v>30</v>
      </c>
      <c r="B36" s="2" t="s">
        <v>75</v>
      </c>
      <c r="C36" s="2" t="s">
        <v>71</v>
      </c>
      <c r="D36" s="3" t="s">
        <v>72</v>
      </c>
      <c r="E36" s="2">
        <v>1</v>
      </c>
      <c r="F36" s="5">
        <v>11000</v>
      </c>
      <c r="G36" s="5">
        <f t="shared" si="0"/>
        <v>11000</v>
      </c>
    </row>
    <row r="37" spans="1:7" x14ac:dyDescent="0.25">
      <c r="A37" t="s">
        <v>73</v>
      </c>
      <c r="B37" s="2" t="s">
        <v>74</v>
      </c>
      <c r="C37" s="2" t="s">
        <v>76</v>
      </c>
      <c r="D37" s="3" t="s">
        <v>77</v>
      </c>
      <c r="E37" s="2">
        <v>1</v>
      </c>
      <c r="F37" s="5">
        <v>700</v>
      </c>
      <c r="G37" s="5">
        <f t="shared" si="0"/>
        <v>700</v>
      </c>
    </row>
    <row r="38" spans="1:7" x14ac:dyDescent="0.25">
      <c r="A38" t="s">
        <v>102</v>
      </c>
      <c r="B38" s="2" t="s">
        <v>119</v>
      </c>
      <c r="C38" s="2" t="s">
        <v>104</v>
      </c>
      <c r="D38" s="3" t="s">
        <v>105</v>
      </c>
      <c r="E38" s="2">
        <v>2</v>
      </c>
      <c r="F38" s="5">
        <v>300</v>
      </c>
      <c r="G38" s="5">
        <f t="shared" si="0"/>
        <v>600</v>
      </c>
    </row>
    <row r="39" spans="1:7" x14ac:dyDescent="0.25">
      <c r="A39" t="s">
        <v>78</v>
      </c>
      <c r="B39" s="2" t="s">
        <v>80</v>
      </c>
      <c r="C39" s="2" t="s">
        <v>81</v>
      </c>
      <c r="D39" s="3" t="s">
        <v>79</v>
      </c>
      <c r="E39" s="2">
        <v>1</v>
      </c>
      <c r="F39" s="5">
        <v>400</v>
      </c>
      <c r="G39" s="5">
        <f t="shared" si="0"/>
        <v>400</v>
      </c>
    </row>
    <row r="40" spans="1:7" x14ac:dyDescent="0.25">
      <c r="A40" t="s">
        <v>34</v>
      </c>
      <c r="B40" s="2"/>
      <c r="C40" s="2"/>
      <c r="E40" s="2"/>
      <c r="F40" s="5"/>
      <c r="G40" s="5">
        <v>12000</v>
      </c>
    </row>
    <row r="41" spans="1:7" x14ac:dyDescent="0.25">
      <c r="A41" t="s">
        <v>42</v>
      </c>
      <c r="B41" s="2"/>
      <c r="C41" s="2" t="s">
        <v>43</v>
      </c>
      <c r="E41" s="2"/>
      <c r="F41" s="5"/>
      <c r="G41" s="5">
        <v>1000</v>
      </c>
    </row>
    <row r="42" spans="1:7" x14ac:dyDescent="0.25">
      <c r="A42" t="s">
        <v>31</v>
      </c>
      <c r="F42" s="5"/>
      <c r="G42" s="5">
        <v>10000</v>
      </c>
    </row>
    <row r="43" spans="1:7" x14ac:dyDescent="0.25">
      <c r="A43" t="s">
        <v>32</v>
      </c>
      <c r="F43" s="5"/>
      <c r="G43" s="5">
        <v>15000</v>
      </c>
    </row>
    <row r="44" spans="1:7" x14ac:dyDescent="0.25">
      <c r="A44" t="s">
        <v>33</v>
      </c>
      <c r="F44" s="5"/>
      <c r="G44" s="5">
        <v>6800</v>
      </c>
    </row>
    <row r="45" spans="1:7" x14ac:dyDescent="0.25">
      <c r="A45" t="s">
        <v>35</v>
      </c>
      <c r="F45" s="7"/>
      <c r="G45" s="5">
        <f>SUM(G2:G44)</f>
        <v>165800</v>
      </c>
    </row>
  </sheetData>
  <pageMargins left="0.7" right="0.7" top="0.75" bottom="0.75" header="0.3" footer="0.3"/>
  <ignoredErrors>
    <ignoredError sqref="D6:D8 D27: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2026-03-16T15:11:20Z</dcterms:modified>
</cp:coreProperties>
</file>